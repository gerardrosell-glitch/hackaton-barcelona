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75" windowWidth="29040" windowHeight="15720" tabRatio="600" firstSheet="0" activeTab="0" autoFilterDateGrouping="1"/>
  </bookViews>
  <sheets>
    <sheet name="Fichero" sheetId="1" state="visible" r:id="rId1"/>
    <sheet name="Dades QV" sheetId="2" state="visible" r:id="rId2"/>
    <sheet name="Notes QV" sheetId="3" state="visible" r:id="rId3"/>
  </sheets>
  <definedNames>
    <definedName name="_xlnm._FilterDatabase" localSheetId="0" hidden="1">'Fichero'!$A$1:$N$17</definedName>
    <definedName name="_xlnm.Print_Area" localSheetId="0">'Fichero'!$A$1:$N$1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sz val="8"/>
      <scheme val="minor"/>
    </font>
    <font>
      <name val="Calibri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b val="1"/>
      <sz val="14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00B0F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horizontal="right"/>
    </xf>
    <xf numFmtId="49" fontId="0" fillId="0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0" borderId="1" applyAlignment="1" pivotButton="0" quotePrefix="0" xfId="0">
      <alignment horizontal="right"/>
    </xf>
    <xf numFmtId="49" fontId="3" fillId="0" borderId="2" applyAlignment="1" pivotButton="0" quotePrefix="0" xfId="0">
      <alignment horizontal="left" vertical="center"/>
    </xf>
    <xf numFmtId="49" fontId="3" fillId="3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0" fontId="0" fillId="3" borderId="2" pivotButton="0" quotePrefix="0" xfId="0"/>
    <xf numFmtId="0" fontId="0" fillId="4" borderId="2" pivotButton="0" quotePrefix="0" xfId="0"/>
    <xf numFmtId="0" fontId="6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1.453125" defaultRowHeight="14.5"/>
  <cols>
    <col width="44.1796875" bestFit="1" customWidth="1" style="1" min="1" max="1"/>
    <col width="38.26953125" bestFit="1" customWidth="1" style="1" min="2" max="2"/>
    <col width="34.81640625" bestFit="1" customWidth="1" style="1" min="3" max="3"/>
    <col width="11.54296875" customWidth="1" style="2" min="4" max="8"/>
    <col width="12" customWidth="1" min="5" max="5"/>
    <col width="14" customWidth="1" min="6" max="6"/>
    <col width="12" customWidth="1" min="7" max="7"/>
    <col width="12" customWidth="1" min="8" max="8"/>
    <col width="20" customWidth="1" style="2" min="9" max="9"/>
    <col width="14.7265625" customWidth="1" style="1" min="10" max="10"/>
    <col width="12.7265625" customWidth="1" style="1" min="11" max="14"/>
    <col width="13" customWidth="1" min="12" max="12"/>
    <col width="10" customWidth="1" min="13" max="13"/>
    <col width="14" customWidth="1" min="14" max="14"/>
    <col width="11.453125" customWidth="1" style="1" min="15" max="16384"/>
  </cols>
  <sheetData>
    <row r="1" ht="58" customFormat="1" customHeight="1" s="3">
      <c r="A1" s="4" t="inlineStr">
        <is>
          <t>DESCRIPCIÓN
 (Max. 40 Caractéres)</t>
        </is>
      </c>
      <c r="B1" s="4" t="inlineStr">
        <is>
          <t>CÓDIGO EXTERNO
 (Max. 35 Caractéres)
Es el que se usa para las transmisiones.</t>
        </is>
      </c>
      <c r="C1" s="4" t="inlineStr">
        <is>
          <t>CÓDIGO DE BARRAS
 (Normalmente 13 caractéres)</t>
        </is>
      </c>
      <c r="D1" s="4" t="inlineStr">
        <is>
          <t>PESO CAJA
 (en Kgs.)</t>
        </is>
      </c>
      <c r="E1" s="4" t="inlineStr">
        <is>
          <t>ALTO CAJA (en Cm.)</t>
        </is>
      </c>
      <c r="F1" s="4" t="inlineStr">
        <is>
          <t>ANCHO CAJA (en Cm.)</t>
        </is>
      </c>
      <c r="G1" s="4" t="inlineStr">
        <is>
          <t>LARGO CAJA
(en Cm.)</t>
        </is>
      </c>
      <c r="H1" s="4" t="inlineStr">
        <is>
          <t>UNIDADES POR CAJA</t>
        </is>
      </c>
      <c r="I1" s="4" t="inlineStr">
        <is>
          <t>CAJAS POR PALET
(Altura máxima permitida 1,50 m por palet)</t>
        </is>
      </c>
      <c r="J1" s="4" t="inlineStr">
        <is>
          <t>FORMATO VENTA
(Unidad, Caja, …)</t>
        </is>
      </c>
      <c r="K1" s="4" t="inlineStr">
        <is>
          <t>FAMILIA</t>
        </is>
      </c>
      <c r="L1" s="4" t="inlineStr">
        <is>
          <t>CADUCIDAD
SI / NO</t>
        </is>
      </c>
      <c r="M1" s="4" t="inlineStr">
        <is>
          <t>LOTE
SI / NO</t>
        </is>
      </c>
      <c r="N1" s="4" t="inlineStr">
        <is>
          <t>NUMERO SERIE
SI / NO</t>
        </is>
      </c>
    </row>
    <row r="2">
      <c r="A2" s="7" t="inlineStr">
        <is>
          <t>Whey Protein Crema Catalana 300 g</t>
        </is>
      </c>
      <c r="B2" s="7" t="inlineStr">
        <is>
          <t>QV-WHE-CC-0300</t>
        </is>
      </c>
      <c r="C2" s="8" t="n"/>
      <c r="D2" s="9">
        <f>IF(OR($H2="",'Dades QV'!$E2=""),"",ROUND('Dades QV'!$E2*$H2/1000,3))</f>
        <v/>
      </c>
      <c r="E2" s="8" t="n"/>
      <c r="F2" s="8" t="n"/>
      <c r="G2" s="8" t="n"/>
      <c r="H2" s="8" t="n"/>
      <c r="I2" s="8" t="n"/>
      <c r="J2" s="7" t="inlineStr">
        <is>
          <t>Unidad</t>
        </is>
      </c>
      <c r="K2" s="7" t="inlineStr">
        <is>
          <t>PROTEINA WHEY</t>
        </is>
      </c>
      <c r="L2" s="10" t="inlineStr">
        <is>
          <t>SI</t>
        </is>
      </c>
      <c r="M2" s="10" t="inlineStr">
        <is>
          <t>SI</t>
        </is>
      </c>
      <c r="N2" s="10" t="inlineStr">
        <is>
          <t>NO</t>
        </is>
      </c>
    </row>
    <row r="3">
      <c r="A3" s="7" t="inlineStr">
        <is>
          <t>Whey Protein Crema Catalana 750 g</t>
        </is>
      </c>
      <c r="B3" s="7" t="inlineStr">
        <is>
          <t>QV-WHE-CC-0750</t>
        </is>
      </c>
      <c r="C3" s="8" t="n"/>
      <c r="D3" s="9">
        <f>IF(OR($H3="",'Dades QV'!$E3=""),"",ROUND('Dades QV'!$E3*$H3/1000,3))</f>
        <v/>
      </c>
      <c r="E3" s="8" t="n"/>
      <c r="F3" s="8" t="n"/>
      <c r="G3" s="8" t="n"/>
      <c r="H3" s="8" t="n"/>
      <c r="I3" s="8" t="n"/>
      <c r="J3" s="7" t="inlineStr">
        <is>
          <t>Unidad</t>
        </is>
      </c>
      <c r="K3" s="7" t="inlineStr">
        <is>
          <t>PROTEINA WHEY</t>
        </is>
      </c>
      <c r="L3" s="10" t="inlineStr">
        <is>
          <t>SI</t>
        </is>
      </c>
      <c r="M3" s="10" t="inlineStr">
        <is>
          <t>SI</t>
        </is>
      </c>
      <c r="N3" s="10" t="inlineStr">
        <is>
          <t>NO</t>
        </is>
      </c>
    </row>
    <row r="4">
      <c r="A4" s="7" t="inlineStr">
        <is>
          <t>Whey Protein Crema Catalana 1500 g</t>
        </is>
      </c>
      <c r="B4" s="7" t="inlineStr">
        <is>
          <t>QV-WHE-CC-1500</t>
        </is>
      </c>
      <c r="C4" s="8" t="n"/>
      <c r="D4" s="9">
        <f>IF(OR($H4="",'Dades QV'!$E4=""),"",ROUND('Dades QV'!$E4*$H4/1000,3))</f>
        <v/>
      </c>
      <c r="E4" s="8" t="n"/>
      <c r="F4" s="8" t="n"/>
      <c r="G4" s="8" t="n"/>
      <c r="H4" s="8" t="n"/>
      <c r="I4" s="8" t="n"/>
      <c r="J4" s="7" t="inlineStr">
        <is>
          <t>Unidad</t>
        </is>
      </c>
      <c r="K4" s="7" t="inlineStr">
        <is>
          <t>PROTEINA WHEY</t>
        </is>
      </c>
      <c r="L4" s="10" t="inlineStr">
        <is>
          <t>SI</t>
        </is>
      </c>
      <c r="M4" s="10" t="inlineStr">
        <is>
          <t>SI</t>
        </is>
      </c>
      <c r="N4" s="10" t="inlineStr">
        <is>
          <t>NO</t>
        </is>
      </c>
    </row>
    <row r="5">
      <c r="A5" s="7" t="inlineStr">
        <is>
          <t>Whey Protein Crema Catalana 4000 g</t>
        </is>
      </c>
      <c r="B5" s="7" t="inlineStr">
        <is>
          <t>QV-WHE-CC-4000</t>
        </is>
      </c>
      <c r="C5" s="8" t="n"/>
      <c r="D5" s="9">
        <f>IF(OR($H5="",'Dades QV'!$E5=""),"",ROUND('Dades QV'!$E5*$H5/1000,3))</f>
        <v/>
      </c>
      <c r="E5" s="8" t="n"/>
      <c r="F5" s="8" t="n"/>
      <c r="G5" s="8" t="n"/>
      <c r="H5" s="8" t="n"/>
      <c r="I5" s="8" t="n"/>
      <c r="J5" s="7" t="inlineStr">
        <is>
          <t>Unidad</t>
        </is>
      </c>
      <c r="K5" s="7" t="inlineStr">
        <is>
          <t>PROTEINA WHEY</t>
        </is>
      </c>
      <c r="L5" s="10" t="inlineStr">
        <is>
          <t>SI</t>
        </is>
      </c>
      <c r="M5" s="10" t="inlineStr">
        <is>
          <t>SI</t>
        </is>
      </c>
      <c r="N5" s="10" t="inlineStr">
        <is>
          <t>NO</t>
        </is>
      </c>
    </row>
    <row r="6">
      <c r="A6" s="7" t="inlineStr">
        <is>
          <t>Whey Protein Neutre 300 g</t>
        </is>
      </c>
      <c r="B6" s="7" t="inlineStr">
        <is>
          <t>QV-WHE-NE-0300</t>
        </is>
      </c>
      <c r="C6" s="8" t="n"/>
      <c r="D6" s="9">
        <f>IF(OR($H6="",'Dades QV'!$E6=""),"",ROUND('Dades QV'!$E6*$H6/1000,3))</f>
        <v/>
      </c>
      <c r="E6" s="8" t="n"/>
      <c r="F6" s="8" t="n"/>
      <c r="G6" s="8" t="n"/>
      <c r="H6" s="8" t="n"/>
      <c r="I6" s="8" t="n"/>
      <c r="J6" s="7" t="inlineStr">
        <is>
          <t>Unidad</t>
        </is>
      </c>
      <c r="K6" s="7" t="inlineStr">
        <is>
          <t>PROTEINA WHEY</t>
        </is>
      </c>
      <c r="L6" s="10" t="inlineStr">
        <is>
          <t>SI</t>
        </is>
      </c>
      <c r="M6" s="10" t="inlineStr">
        <is>
          <t>SI</t>
        </is>
      </c>
      <c r="N6" s="10" t="inlineStr">
        <is>
          <t>NO</t>
        </is>
      </c>
    </row>
    <row r="7">
      <c r="A7" s="7" t="inlineStr">
        <is>
          <t>Whey Protein Neutre 750 g</t>
        </is>
      </c>
      <c r="B7" s="7" t="inlineStr">
        <is>
          <t>QV-WHE-NE-0750</t>
        </is>
      </c>
      <c r="C7" s="8" t="n"/>
      <c r="D7" s="9">
        <f>IF(OR($H7="",'Dades QV'!$E7=""),"",ROUND('Dades QV'!$E7*$H7/1000,3))</f>
        <v/>
      </c>
      <c r="E7" s="8" t="n"/>
      <c r="F7" s="8" t="n"/>
      <c r="G7" s="8" t="n"/>
      <c r="H7" s="8" t="n"/>
      <c r="I7" s="8" t="n"/>
      <c r="J7" s="7" t="inlineStr">
        <is>
          <t>Unidad</t>
        </is>
      </c>
      <c r="K7" s="7" t="inlineStr">
        <is>
          <t>PROTEINA WHEY</t>
        </is>
      </c>
      <c r="L7" s="10" t="inlineStr">
        <is>
          <t>SI</t>
        </is>
      </c>
      <c r="M7" s="10" t="inlineStr">
        <is>
          <t>SI</t>
        </is>
      </c>
      <c r="N7" s="10" t="inlineStr">
        <is>
          <t>NO</t>
        </is>
      </c>
    </row>
    <row r="8">
      <c r="A8" s="7" t="inlineStr">
        <is>
          <t>Whey Protein Neutre 1500 g</t>
        </is>
      </c>
      <c r="B8" s="7" t="inlineStr">
        <is>
          <t>QV-WHE-NE-1500</t>
        </is>
      </c>
      <c r="C8" s="8" t="n"/>
      <c r="D8" s="9">
        <f>IF(OR($H8="",'Dades QV'!$E8=""),"",ROUND('Dades QV'!$E8*$H8/1000,3))</f>
        <v/>
      </c>
      <c r="E8" s="8" t="n"/>
      <c r="F8" s="8" t="n"/>
      <c r="G8" s="8" t="n"/>
      <c r="H8" s="8" t="n"/>
      <c r="I8" s="8" t="n"/>
      <c r="J8" s="7" t="inlineStr">
        <is>
          <t>Unidad</t>
        </is>
      </c>
      <c r="K8" s="7" t="inlineStr">
        <is>
          <t>PROTEINA WHEY</t>
        </is>
      </c>
      <c r="L8" s="10" t="inlineStr">
        <is>
          <t>SI</t>
        </is>
      </c>
      <c r="M8" s="10" t="inlineStr">
        <is>
          <t>SI</t>
        </is>
      </c>
      <c r="N8" s="10" t="inlineStr">
        <is>
          <t>NO</t>
        </is>
      </c>
    </row>
    <row r="9">
      <c r="A9" s="7" t="inlineStr">
        <is>
          <t>Whey Protein Neutre 4000 g</t>
        </is>
      </c>
      <c r="B9" s="7" t="inlineStr">
        <is>
          <t>QV-WHE-NE-4000</t>
        </is>
      </c>
      <c r="C9" s="8" t="n"/>
      <c r="D9" s="9">
        <f>IF(OR($H9="",'Dades QV'!$E9=""),"",ROUND('Dades QV'!$E9*$H9/1000,3))</f>
        <v/>
      </c>
      <c r="E9" s="8" t="n"/>
      <c r="F9" s="8" t="n"/>
      <c r="G9" s="8" t="n"/>
      <c r="H9" s="8" t="n"/>
      <c r="I9" s="8" t="n"/>
      <c r="J9" s="7" t="inlineStr">
        <is>
          <t>Unidad</t>
        </is>
      </c>
      <c r="K9" s="7" t="inlineStr">
        <is>
          <t>PROTEINA WHEY</t>
        </is>
      </c>
      <c r="L9" s="10" t="inlineStr">
        <is>
          <t>SI</t>
        </is>
      </c>
      <c r="M9" s="10" t="inlineStr">
        <is>
          <t>SI</t>
        </is>
      </c>
      <c r="N9" s="10" t="inlineStr">
        <is>
          <t>NO</t>
        </is>
      </c>
    </row>
    <row r="10">
      <c r="A10" s="7" t="inlineStr">
        <is>
          <t>Whey Protein Orxata 300 g</t>
        </is>
      </c>
      <c r="B10" s="7" t="inlineStr">
        <is>
          <t>QV-WHE-OR-0300</t>
        </is>
      </c>
      <c r="C10" s="8" t="n"/>
      <c r="D10" s="9">
        <f>IF(OR($H10="",'Dades QV'!$E10=""),"",ROUND('Dades QV'!$E10*$H10/1000,3))</f>
        <v/>
      </c>
      <c r="E10" s="8" t="n"/>
      <c r="F10" s="8" t="n"/>
      <c r="G10" s="8" t="n"/>
      <c r="H10" s="8" t="n"/>
      <c r="I10" s="8" t="n"/>
      <c r="J10" s="7" t="inlineStr">
        <is>
          <t>Unidad</t>
        </is>
      </c>
      <c r="K10" s="7" t="inlineStr">
        <is>
          <t>PROTEINA WHEY</t>
        </is>
      </c>
      <c r="L10" s="10" t="inlineStr">
        <is>
          <t>SI</t>
        </is>
      </c>
      <c r="M10" s="10" t="inlineStr">
        <is>
          <t>SI</t>
        </is>
      </c>
      <c r="N10" s="10" t="inlineStr">
        <is>
          <t>NO</t>
        </is>
      </c>
    </row>
    <row r="11">
      <c r="A11" s="7" t="inlineStr">
        <is>
          <t>Whey Protein Orxata 750 g</t>
        </is>
      </c>
      <c r="B11" s="7" t="inlineStr">
        <is>
          <t>QV-WHE-OR-0750</t>
        </is>
      </c>
      <c r="C11" s="8" t="n"/>
      <c r="D11" s="9">
        <f>IF(OR($H11="",'Dades QV'!$E11=""),"",ROUND('Dades QV'!$E11*$H11/1000,3))</f>
        <v/>
      </c>
      <c r="E11" s="8" t="n"/>
      <c r="F11" s="8" t="n"/>
      <c r="G11" s="8" t="n"/>
      <c r="H11" s="8" t="n"/>
      <c r="I11" s="8" t="n"/>
      <c r="J11" s="7" t="inlineStr">
        <is>
          <t>Unidad</t>
        </is>
      </c>
      <c r="K11" s="7" t="inlineStr">
        <is>
          <t>PROTEINA WHEY</t>
        </is>
      </c>
      <c r="L11" s="10" t="inlineStr">
        <is>
          <t>SI</t>
        </is>
      </c>
      <c r="M11" s="10" t="inlineStr">
        <is>
          <t>SI</t>
        </is>
      </c>
      <c r="N11" s="10" t="inlineStr">
        <is>
          <t>NO</t>
        </is>
      </c>
    </row>
    <row r="12">
      <c r="A12" s="7" t="inlineStr">
        <is>
          <t>Whey Protein Orxata 1500 g</t>
        </is>
      </c>
      <c r="B12" s="7" t="inlineStr">
        <is>
          <t>QV-WHE-OR-1500</t>
        </is>
      </c>
      <c r="C12" s="8" t="n"/>
      <c r="D12" s="9">
        <f>IF(OR($H12="",'Dades QV'!$E12=""),"",ROUND('Dades QV'!$E12*$H12/1000,3))</f>
        <v/>
      </c>
      <c r="E12" s="8" t="n"/>
      <c r="F12" s="8" t="n"/>
      <c r="G12" s="8" t="n"/>
      <c r="H12" s="8" t="n"/>
      <c r="I12" s="8" t="n"/>
      <c r="J12" s="7" t="inlineStr">
        <is>
          <t>Unidad</t>
        </is>
      </c>
      <c r="K12" s="7" t="inlineStr">
        <is>
          <t>PROTEINA WHEY</t>
        </is>
      </c>
      <c r="L12" s="10" t="inlineStr">
        <is>
          <t>SI</t>
        </is>
      </c>
      <c r="M12" s="10" t="inlineStr">
        <is>
          <t>SI</t>
        </is>
      </c>
      <c r="N12" s="10" t="inlineStr">
        <is>
          <t>NO</t>
        </is>
      </c>
    </row>
    <row r="13">
      <c r="A13" s="7" t="inlineStr">
        <is>
          <t>Mostra Whey Crema Catalana 30 g</t>
        </is>
      </c>
      <c r="B13" s="7" t="inlineStr">
        <is>
          <t>QV-MOS-CC-0030</t>
        </is>
      </c>
      <c r="C13" s="8" t="n"/>
      <c r="D13" s="9">
        <f>IF(OR($H13="",'Dades QV'!$E13=""),"",ROUND('Dades QV'!$E13*$H13/1000,3))</f>
        <v/>
      </c>
      <c r="E13" s="8" t="n"/>
      <c r="F13" s="8" t="n"/>
      <c r="G13" s="8" t="n"/>
      <c r="H13" s="8" t="n"/>
      <c r="I13" s="8" t="n"/>
      <c r="J13" s="7" t="inlineStr">
        <is>
          <t>Unidad</t>
        </is>
      </c>
      <c r="K13" s="7" t="inlineStr">
        <is>
          <t>MOSTRES</t>
        </is>
      </c>
      <c r="L13" s="10" t="inlineStr">
        <is>
          <t>SI</t>
        </is>
      </c>
      <c r="M13" s="10" t="inlineStr">
        <is>
          <t>SI</t>
        </is>
      </c>
      <c r="N13" s="10" t="inlineStr">
        <is>
          <t>NO</t>
        </is>
      </c>
    </row>
    <row r="14">
      <c r="A14" s="7" t="inlineStr">
        <is>
          <t>Mostra Whey Neutre 30 g</t>
        </is>
      </c>
      <c r="B14" s="7" t="inlineStr">
        <is>
          <t>QV-MOS-NE-0030</t>
        </is>
      </c>
      <c r="C14" s="8" t="n"/>
      <c r="D14" s="9">
        <f>IF(OR($H14="",'Dades QV'!$E14=""),"",ROUND('Dades QV'!$E14*$H14/1000,3))</f>
        <v/>
      </c>
      <c r="E14" s="8" t="n"/>
      <c r="F14" s="8" t="n"/>
      <c r="G14" s="8" t="n"/>
      <c r="H14" s="8" t="n"/>
      <c r="I14" s="8" t="n"/>
      <c r="J14" s="7" t="inlineStr">
        <is>
          <t>Unidad</t>
        </is>
      </c>
      <c r="K14" s="7" t="inlineStr">
        <is>
          <t>MOSTRES</t>
        </is>
      </c>
      <c r="L14" s="10" t="inlineStr">
        <is>
          <t>SI</t>
        </is>
      </c>
      <c r="M14" s="10" t="inlineStr">
        <is>
          <t>SI</t>
        </is>
      </c>
      <c r="N14" s="10" t="inlineStr">
        <is>
          <t>NO</t>
        </is>
      </c>
    </row>
    <row r="15">
      <c r="A15" s="7" t="inlineStr">
        <is>
          <t>Mostra Whey Orxata 30 g</t>
        </is>
      </c>
      <c r="B15" s="7" t="inlineStr">
        <is>
          <t>QV-MOS-OR-0030</t>
        </is>
      </c>
      <c r="C15" s="8" t="n"/>
      <c r="D15" s="9">
        <f>IF(OR($H15="",'Dades QV'!$E15=""),"",ROUND('Dades QV'!$E15*$H15/1000,3))</f>
        <v/>
      </c>
      <c r="E15" s="8" t="n"/>
      <c r="F15" s="8" t="n"/>
      <c r="G15" s="8" t="n"/>
      <c r="H15" s="8" t="n"/>
      <c r="I15" s="8" t="n"/>
      <c r="J15" s="7" t="inlineStr">
        <is>
          <t>Unidad</t>
        </is>
      </c>
      <c r="K15" s="7" t="inlineStr">
        <is>
          <t>MOSTRES</t>
        </is>
      </c>
      <c r="L15" s="10" t="inlineStr">
        <is>
          <t>SI</t>
        </is>
      </c>
      <c r="M15" s="10" t="inlineStr">
        <is>
          <t>SI</t>
        </is>
      </c>
      <c r="N15" s="10" t="inlineStr">
        <is>
          <t>NO</t>
        </is>
      </c>
    </row>
    <row r="16">
      <c r="A16" s="7" t="inlineStr">
        <is>
          <t>Creatina Monohidrat Micronitzada 250 g</t>
        </is>
      </c>
      <c r="B16" s="7" t="inlineStr">
        <is>
          <t>QV-CRE-NE-0250</t>
        </is>
      </c>
      <c r="C16" s="8" t="n"/>
      <c r="D16" s="9">
        <f>IF(OR($H16="",'Dades QV'!$E16=""),"",ROUND('Dades QV'!$E16*$H16/1000,3))</f>
        <v/>
      </c>
      <c r="E16" s="8" t="n"/>
      <c r="F16" s="8" t="n"/>
      <c r="G16" s="8" t="n"/>
      <c r="H16" s="8" t="n"/>
      <c r="I16" s="8" t="n"/>
      <c r="J16" s="7" t="inlineStr">
        <is>
          <t>Unidad</t>
        </is>
      </c>
      <c r="K16" s="7" t="inlineStr">
        <is>
          <t>CREATINA</t>
        </is>
      </c>
      <c r="L16" s="10" t="inlineStr">
        <is>
          <t>SI</t>
        </is>
      </c>
      <c r="M16" s="10" t="inlineStr">
        <is>
          <t>SI</t>
        </is>
      </c>
      <c r="N16" s="10" t="inlineStr">
        <is>
          <t>NO</t>
        </is>
      </c>
    </row>
    <row r="17">
      <c r="A17" s="11" t="inlineStr">
        <is>
          <t>Creatina Monohidrat Micronitzada 400 g</t>
        </is>
      </c>
      <c r="B17" s="11" t="inlineStr">
        <is>
          <t>QV-CRE-NE-0400</t>
        </is>
      </c>
      <c r="C17" s="12" t="n"/>
      <c r="D17" s="9">
        <f>IF(OR($H17="",'Dades QV'!$E17=""),"",ROUND('Dades QV'!$E17*$H17/1000,3))</f>
        <v/>
      </c>
      <c r="E17" s="12" t="n"/>
      <c r="F17" s="12" t="n"/>
      <c r="G17" s="12" t="n"/>
      <c r="H17" s="12" t="n"/>
      <c r="I17" s="12" t="n"/>
      <c r="J17" s="11" t="inlineStr">
        <is>
          <t>Unidad</t>
        </is>
      </c>
      <c r="K17" s="11" t="inlineStr">
        <is>
          <t>CREATINA</t>
        </is>
      </c>
      <c r="L17" s="13" t="inlineStr">
        <is>
          <t>SI</t>
        </is>
      </c>
      <c r="M17" s="13" t="inlineStr">
        <is>
          <t>SI</t>
        </is>
      </c>
      <c r="N17" s="13" t="inlineStr">
        <is>
          <t>NO</t>
        </is>
      </c>
    </row>
    <row r="19">
      <c r="A19" s="14" t="inlineStr">
        <is>
          <t>LLEGENDA</t>
        </is>
      </c>
    </row>
    <row r="20">
      <c r="A20" s="15" t="inlineStr">
        <is>
          <t>Groc = pendent d'omplir per Quota Vita / operador logistic (codi de barres i mides de la caixa).</t>
        </is>
      </c>
      <c r="B20" s="16" t="n"/>
    </row>
    <row r="21">
      <c r="A21" s="15" t="inlineStr">
        <is>
          <t>Gris = PESO CAJA, calculat automaticament en omplir UNIDADES POR CAJA (col. H) i la tara a la pestanya "Dades QV".</t>
        </is>
      </c>
      <c r="B21" s="17" t="n"/>
    </row>
    <row r="22">
      <c r="A22" s="15" t="inlineStr">
        <is>
          <t>Blanc = dada extreta de Shopify (catàleg Quota Vita) o regla de negoci fixa.</t>
        </is>
      </c>
    </row>
  </sheetData>
  <autoFilter ref="A1:N17"/>
  <pageMargins left="0" right="0" top="0" bottom="0" header="0.3149606299212598" footer="0.3149606299212598"/>
  <pageSetup orientation="landscape" paperSize="9" scale="3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18" customWidth="1" min="4" max="4"/>
    <col width="16" customWidth="1" min="5" max="5"/>
    <col width="20" customWidth="1" min="6" max="6"/>
    <col width="20" customWidth="1" min="7" max="7"/>
  </cols>
  <sheetData>
    <row r="1" ht="48" customHeight="1">
      <c r="A1" s="18" t="inlineStr">
        <is>
          <t>CÓDIGO EXTERNO (SKU)</t>
        </is>
      </c>
      <c r="B1" s="18" t="inlineStr">
        <is>
          <t>DESCRIPCIÓN</t>
        </is>
      </c>
      <c r="C1" s="18" t="inlineStr">
        <is>
          <t>PES NET UNITAT (g)
format del producte</t>
        </is>
      </c>
      <c r="D1" s="18" t="inlineStr">
        <is>
          <t>TARA ENVÀS + ETIQUETA (g)
OMPLIR</t>
        </is>
      </c>
      <c r="E1" s="18" t="inlineStr">
        <is>
          <t>PES BRUT UNITAT (g)
calculat</t>
        </is>
      </c>
      <c r="F1" s="18" t="inlineStr">
        <is>
          <t>PES REGISTRAT A SHOPIFY (g)</t>
        </is>
      </c>
      <c r="G1" s="18" t="inlineStr">
        <is>
          <t>COHERÈNCIA SHOPIFY</t>
        </is>
      </c>
    </row>
    <row r="2">
      <c r="A2" s="19" t="inlineStr">
        <is>
          <t>QV-WHE-CC-0300</t>
        </is>
      </c>
      <c r="B2" s="19" t="inlineStr">
        <is>
          <t>Whey Protein Crema Catalana 300 g</t>
        </is>
      </c>
      <c r="C2" s="20" t="n">
        <v>300</v>
      </c>
      <c r="D2" s="21" t="n"/>
      <c r="E2" s="22">
        <f>IF($D2="","",$C2+$D2)</f>
        <v/>
      </c>
      <c r="F2" s="20" t="n">
        <v>300</v>
      </c>
      <c r="G2" s="20" t="inlineStr">
        <is>
          <t>OK</t>
        </is>
      </c>
    </row>
    <row r="3">
      <c r="A3" s="19" t="inlineStr">
        <is>
          <t>QV-WHE-CC-0750</t>
        </is>
      </c>
      <c r="B3" s="19" t="inlineStr">
        <is>
          <t>Whey Protein Crema Catalana 750 g</t>
        </is>
      </c>
      <c r="C3" s="20" t="n">
        <v>750</v>
      </c>
      <c r="D3" s="21" t="n"/>
      <c r="E3" s="22">
        <f>IF($D3="","",$C3+$D3)</f>
        <v/>
      </c>
      <c r="F3" s="20" t="n">
        <v>750</v>
      </c>
      <c r="G3" s="20" t="inlineStr">
        <is>
          <t>OK</t>
        </is>
      </c>
    </row>
    <row r="4">
      <c r="A4" s="19" t="inlineStr">
        <is>
          <t>QV-WHE-CC-1500</t>
        </is>
      </c>
      <c r="B4" s="19" t="inlineStr">
        <is>
          <t>Whey Protein Crema Catalana 1500 g</t>
        </is>
      </c>
      <c r="C4" s="20" t="n">
        <v>1500</v>
      </c>
      <c r="D4" s="21" t="n"/>
      <c r="E4" s="22">
        <f>IF($D4="","",$C4+$D4)</f>
        <v/>
      </c>
      <c r="F4" s="20" t="n">
        <v>750</v>
      </c>
      <c r="G4" s="20" t="inlineStr">
        <is>
          <t>REVISAR</t>
        </is>
      </c>
    </row>
    <row r="5">
      <c r="A5" s="19" t="inlineStr">
        <is>
          <t>QV-WHE-CC-4000</t>
        </is>
      </c>
      <c r="B5" s="19" t="inlineStr">
        <is>
          <t>Whey Protein Crema Catalana 4000 g</t>
        </is>
      </c>
      <c r="C5" s="20" t="n">
        <v>4000</v>
      </c>
      <c r="D5" s="21" t="n"/>
      <c r="E5" s="22">
        <f>IF($D5="","",$C5+$D5)</f>
        <v/>
      </c>
      <c r="F5" s="20" t="n">
        <v>4000</v>
      </c>
      <c r="G5" s="20" t="inlineStr">
        <is>
          <t>OK</t>
        </is>
      </c>
    </row>
    <row r="6">
      <c r="A6" s="19" t="inlineStr">
        <is>
          <t>QV-WHE-NE-0300</t>
        </is>
      </c>
      <c r="B6" s="19" t="inlineStr">
        <is>
          <t>Whey Protein Neutre 300 g</t>
        </is>
      </c>
      <c r="C6" s="20" t="n">
        <v>300</v>
      </c>
      <c r="D6" s="21" t="n"/>
      <c r="E6" s="22">
        <f>IF($D6="","",$C6+$D6)</f>
        <v/>
      </c>
      <c r="F6" s="20" t="n">
        <v>350</v>
      </c>
      <c r="G6" s="20" t="inlineStr">
        <is>
          <t>REVISAR</t>
        </is>
      </c>
    </row>
    <row r="7">
      <c r="A7" s="19" t="inlineStr">
        <is>
          <t>QV-WHE-NE-0750</t>
        </is>
      </c>
      <c r="B7" s="19" t="inlineStr">
        <is>
          <t>Whey Protein Neutre 750 g</t>
        </is>
      </c>
      <c r="C7" s="20" t="n">
        <v>750</v>
      </c>
      <c r="D7" s="21" t="n"/>
      <c r="E7" s="22">
        <f>IF($D7="","",$C7+$D7)</f>
        <v/>
      </c>
      <c r="F7" s="20" t="n">
        <v>350</v>
      </c>
      <c r="G7" s="20" t="inlineStr">
        <is>
          <t>REVISAR</t>
        </is>
      </c>
    </row>
    <row r="8">
      <c r="A8" s="19" t="inlineStr">
        <is>
          <t>QV-WHE-NE-1500</t>
        </is>
      </c>
      <c r="B8" s="19" t="inlineStr">
        <is>
          <t>Whey Protein Neutre 1500 g</t>
        </is>
      </c>
      <c r="C8" s="20" t="n">
        <v>1500</v>
      </c>
      <c r="D8" s="21" t="n"/>
      <c r="E8" s="22">
        <f>IF($D8="","",$C8+$D8)</f>
        <v/>
      </c>
      <c r="F8" s="20" t="n">
        <v>350</v>
      </c>
      <c r="G8" s="20" t="inlineStr">
        <is>
          <t>REVISAR</t>
        </is>
      </c>
    </row>
    <row r="9">
      <c r="A9" s="19" t="inlineStr">
        <is>
          <t>QV-WHE-NE-4000</t>
        </is>
      </c>
      <c r="B9" s="19" t="inlineStr">
        <is>
          <t>Whey Protein Neutre 4000 g</t>
        </is>
      </c>
      <c r="C9" s="20" t="n">
        <v>4000</v>
      </c>
      <c r="D9" s="21" t="n"/>
      <c r="E9" s="22">
        <f>IF($D9="","",$C9+$D9)</f>
        <v/>
      </c>
      <c r="F9" s="20" t="n">
        <v>4000</v>
      </c>
      <c r="G9" s="20" t="inlineStr">
        <is>
          <t>OK</t>
        </is>
      </c>
    </row>
    <row r="10">
      <c r="A10" s="19" t="inlineStr">
        <is>
          <t>QV-WHE-OR-0300</t>
        </is>
      </c>
      <c r="B10" s="19" t="inlineStr">
        <is>
          <t>Whey Protein Orxata 300 g</t>
        </is>
      </c>
      <c r="C10" s="20" t="n">
        <v>300</v>
      </c>
      <c r="D10" s="21" t="n"/>
      <c r="E10" s="22">
        <f>IF($D10="","",$C10+$D10)</f>
        <v/>
      </c>
      <c r="F10" s="20" t="n">
        <v>750</v>
      </c>
      <c r="G10" s="20" t="inlineStr">
        <is>
          <t>REVISAR</t>
        </is>
      </c>
    </row>
    <row r="11">
      <c r="A11" s="19" t="inlineStr">
        <is>
          <t>QV-WHE-OR-0750</t>
        </is>
      </c>
      <c r="B11" s="19" t="inlineStr">
        <is>
          <t>Whey Protein Orxata 750 g</t>
        </is>
      </c>
      <c r="C11" s="20" t="n">
        <v>750</v>
      </c>
      <c r="D11" s="21" t="n"/>
      <c r="E11" s="22">
        <f>IF($D11="","",$C11+$D11)</f>
        <v/>
      </c>
      <c r="F11" s="20" t="n">
        <v>750</v>
      </c>
      <c r="G11" s="20" t="inlineStr">
        <is>
          <t>OK</t>
        </is>
      </c>
    </row>
    <row r="12">
      <c r="A12" s="19" t="inlineStr">
        <is>
          <t>QV-WHE-OR-1500</t>
        </is>
      </c>
      <c r="B12" s="19" t="inlineStr">
        <is>
          <t>Whey Protein Orxata 1500 g</t>
        </is>
      </c>
      <c r="C12" s="20" t="n">
        <v>1500</v>
      </c>
      <c r="D12" s="21" t="n"/>
      <c r="E12" s="22">
        <f>IF($D12="","",$C12+$D12)</f>
        <v/>
      </c>
      <c r="F12" s="20" t="n">
        <v>750</v>
      </c>
      <c r="G12" s="20" t="inlineStr">
        <is>
          <t>REVISAR</t>
        </is>
      </c>
    </row>
    <row r="13">
      <c r="A13" s="19" t="inlineStr">
        <is>
          <t>QV-MOS-CC-0030</t>
        </is>
      </c>
      <c r="B13" s="19" t="inlineStr">
        <is>
          <t>Mostra Whey Crema Catalana 30 g</t>
        </is>
      </c>
      <c r="C13" s="20" t="n">
        <v>30</v>
      </c>
      <c r="D13" s="21" t="n"/>
      <c r="E13" s="22">
        <f>IF($D13="","",$C13+$D13)</f>
        <v/>
      </c>
      <c r="F13" s="20" t="n">
        <v>40</v>
      </c>
      <c r="G13" s="20" t="inlineStr">
        <is>
          <t>OK (pes brut amb sobre)</t>
        </is>
      </c>
    </row>
    <row r="14">
      <c r="A14" s="19" t="inlineStr">
        <is>
          <t>QV-MOS-NE-0030</t>
        </is>
      </c>
      <c r="B14" s="19" t="inlineStr">
        <is>
          <t>Mostra Whey Neutre 30 g</t>
        </is>
      </c>
      <c r="C14" s="20" t="n">
        <v>30</v>
      </c>
      <c r="D14" s="21" t="n"/>
      <c r="E14" s="22">
        <f>IF($D14="","",$C14+$D14)</f>
        <v/>
      </c>
      <c r="F14" s="20" t="n">
        <v>40</v>
      </c>
      <c r="G14" s="20" t="inlineStr">
        <is>
          <t>OK (pes brut amb sobre)</t>
        </is>
      </c>
    </row>
    <row r="15">
      <c r="A15" s="19" t="inlineStr">
        <is>
          <t>QV-MOS-OR-0030</t>
        </is>
      </c>
      <c r="B15" s="19" t="inlineStr">
        <is>
          <t>Mostra Whey Orxata 30 g</t>
        </is>
      </c>
      <c r="C15" s="20" t="n">
        <v>30</v>
      </c>
      <c r="D15" s="21" t="n"/>
      <c r="E15" s="22">
        <f>IF($D15="","",$C15+$D15)</f>
        <v/>
      </c>
      <c r="F15" s="20" t="n">
        <v>40</v>
      </c>
      <c r="G15" s="20" t="inlineStr">
        <is>
          <t>OK (pes brut amb sobre)</t>
        </is>
      </c>
    </row>
    <row r="16">
      <c r="A16" s="19" t="inlineStr">
        <is>
          <t>QV-CRE-NE-0250</t>
        </is>
      </c>
      <c r="B16" s="19" t="inlineStr">
        <is>
          <t>Creatina Monohidrat Micronitzada 250 g</t>
        </is>
      </c>
      <c r="C16" s="20" t="n">
        <v>250</v>
      </c>
      <c r="D16" s="21" t="n"/>
      <c r="E16" s="22">
        <f>IF($D16="","",$C16+$D16)</f>
        <v/>
      </c>
      <c r="F16" s="20" t="n">
        <v>0</v>
      </c>
      <c r="G16" s="20" t="inlineStr">
        <is>
          <t>SENSE PES A SHOPIFY</t>
        </is>
      </c>
    </row>
    <row r="17">
      <c r="A17" s="19" t="inlineStr">
        <is>
          <t>QV-CRE-NE-0400</t>
        </is>
      </c>
      <c r="B17" s="19" t="inlineStr">
        <is>
          <t>Creatina Monohidrat Micronitzada 400 g</t>
        </is>
      </c>
      <c r="C17" s="20" t="n">
        <v>400</v>
      </c>
      <c r="D17" s="21" t="n"/>
      <c r="E17" s="22">
        <f>IF($D17="","",$C17+$D17)</f>
        <v/>
      </c>
      <c r="F17" s="20" t="n">
        <v>0</v>
      </c>
      <c r="G17" s="20" t="inlineStr">
        <is>
          <t>SENSE PES A SHOPIFY</t>
        </is>
      </c>
    </row>
    <row r="20">
      <c r="A20" s="23" t="inlineStr">
        <is>
          <t>COM FER SERVIR AQUESTA PESTANYA</t>
        </is>
      </c>
    </row>
    <row r="21">
      <c r="A21" s="24" t="inlineStr">
        <is>
          <t>1. Omple la columna D (tara de l'envàs buit + etiqueta, en grams) per a cada SKU.</t>
        </is>
      </c>
    </row>
    <row r="22">
      <c r="A22" s="24" t="inlineStr">
        <is>
          <t>2. Omple UNIDADES POR CAJA (columna H) a la pestanya "Fichero".</t>
        </is>
      </c>
    </row>
    <row r="23">
      <c r="A23" s="24" t="inlineStr">
        <is>
          <t>3. PESO CAJA (columna D del "Fichero") es calcula sol.</t>
        </is>
      </c>
    </row>
    <row r="24">
      <c r="A24" s="24" t="inlineStr">
        <is>
          <t>4. Aquesta pestanya és de treball intern: esborra-la abans d'enviar el fitxer a l'operador logístic si et demanen només la pestanya "Fichero".</t>
        </is>
      </c>
    </row>
    <row r="26">
      <c r="A26" s="23" t="inlineStr">
        <is>
          <t>COLUMNA "COHERÈNCIA SHOPIFY"</t>
        </is>
      </c>
    </row>
    <row r="27">
      <c r="A27" s="24" t="inlineStr">
        <is>
          <t>Compara el pes registrat a Shopify amb el pes net real del format.</t>
        </is>
      </c>
    </row>
    <row r="28">
      <c r="A28" s="24" t="inlineStr">
        <is>
          <t>"REVISAR" = el pes de Shopify no quadra amb el format; cal corregir-lo a Shopify, perquè afecta el càlcul de ports.</t>
        </is>
      </c>
    </row>
    <row r="29">
      <c r="A29" s="24" t="inlineStr">
        <is>
          <t>"SENSE PES A SHOPIFY" = la variant no té cap pes informat.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25" t="inlineStr">
        <is>
          <t>MAESTRO DE ARTÍCULOS — QUOTA VITA</t>
        </is>
      </c>
    </row>
    <row r="2">
      <c r="A2" s="26" t="inlineStr">
        <is>
          <t>Preparat a partir del catàleg de Shopify (www.quotavita.com).</t>
        </is>
      </c>
    </row>
    <row r="4">
      <c r="A4" s="27" t="inlineStr">
        <is>
          <t>QUÈ S'HA OMPLERT AUTOMÀTICAMENT DES DE SHOPIFY</t>
        </is>
      </c>
    </row>
    <row r="5">
      <c r="A5" s="26" t="inlineStr">
        <is>
          <t>· DESCRIPCIÓN — títol del producte + format, escurçat a 40 caràcters.</t>
        </is>
      </c>
    </row>
    <row r="6">
      <c r="A6" s="26" t="inlineStr">
        <is>
          <t>· CÓDIGO EXTERNO — el SKU de la variant de Shopify (tots ≤ 35 caràcters).</t>
        </is>
      </c>
    </row>
    <row r="7">
      <c r="A7" s="26" t="inlineStr">
        <is>
          <t>· FAMILIA — derivada del tipus de producte i del prefix del SKU (WHE=PROTEINA WHEY, MOS=MOSTRES, CRE=CREATINA).</t>
        </is>
      </c>
    </row>
    <row r="8">
      <c r="A8" s="26" t="inlineStr">
        <is>
          <t>· FORMATO VENTA — "Unidad": a Shopify cada variant es ven per unitat solta.</t>
        </is>
      </c>
    </row>
    <row r="9">
      <c r="A9" s="26" t="inlineStr">
        <is>
          <t>· CADUCIDAD / LOTE = SI — són complements alimentaris; la data de consum preferent i el lot són obligatoris i el 3PL ha de gestionar-los (FEFO).</t>
        </is>
      </c>
    </row>
    <row r="10">
      <c r="A10" s="26" t="inlineStr">
        <is>
          <t>· NUMERO SERIE = NO — no s'aplica a producte alimentari en pols.</t>
        </is>
      </c>
    </row>
    <row r="12">
      <c r="A12" s="27" t="inlineStr">
        <is>
          <t>QUÈ NO ES POT OMPLIR AMB SHOPIFY (queda en groc)</t>
        </is>
      </c>
    </row>
    <row r="13">
      <c r="A13" s="26" t="inlineStr">
        <is>
          <t>· CÓDIGO DE BARRAS — CAP variant de Shopify té codi de barres informat. És un bloqueig: el 3PL no pot rebre ni fer picking sense EAN-13.</t>
        </is>
      </c>
    </row>
    <row r="14">
      <c r="A14" s="26" t="inlineStr">
        <is>
          <t xml:space="preserve">  Acció: donar-se d'alta a AECOC/GS1 Espanya i assignar un EAN-13 per SKU, o demanar-los al fabricant si ja els imprimeix.</t>
        </is>
      </c>
    </row>
    <row r="15">
      <c r="A15" s="26" t="inlineStr">
        <is>
          <t>· ALTO / ANCHO / LARGO CAJA — Shopify no guarda dimensions. Cal mesurar la caixa real.</t>
        </is>
      </c>
    </row>
    <row r="16">
      <c r="A16" s="26" t="inlineStr">
        <is>
          <t>· UNIDADES POR CAJA — decisió d'embalatge, no és a Shopify.</t>
        </is>
      </c>
    </row>
    <row r="17">
      <c r="A17" s="26" t="inlineStr">
        <is>
          <t>· CAJAS POR PALET — depèn de la caixa i del límit de 1,50 m d'alçada per palet que marca el formulari.</t>
        </is>
      </c>
    </row>
    <row r="18">
      <c r="A18" s="26" t="inlineStr">
        <is>
          <t>· PESO CAJA — es calcula sol quan omplis UNIDADES POR CAJA i la tara (pestanya "Dades QV").</t>
        </is>
      </c>
    </row>
    <row r="20">
      <c r="A20" s="27" t="inlineStr">
        <is>
          <t>PESOS DE SHOPIFY INCORRECTES — CAL CORREGIR-HO A SHOPIFY</t>
        </is>
      </c>
    </row>
    <row r="21">
      <c r="A21" s="26" t="inlineStr">
        <is>
          <t>Detectat comparant el pes de la variant amb el format que ven:</t>
        </is>
      </c>
    </row>
    <row r="22">
      <c r="A22" s="26" t="inlineStr">
        <is>
          <t>· QV-WHE-CC-1500 → Shopify diu 750 g (hauria de ser ~1500 g)</t>
        </is>
      </c>
    </row>
    <row r="23">
      <c r="A23" s="26" t="inlineStr">
        <is>
          <t>· QV-WHE-NE-0300 / 0750 / 1500 → totes diuen 350 g</t>
        </is>
      </c>
    </row>
    <row r="24">
      <c r="A24" s="26" t="inlineStr">
        <is>
          <t>· QV-WHE-OR-0300 / 0750 / 1500 → totes diuen 750 g</t>
        </is>
      </c>
    </row>
    <row r="25">
      <c r="A25" s="26" t="inlineStr">
        <is>
          <t>· QV-CRE-NE-0250 / 0400 → sense pes (0)</t>
        </is>
      </c>
    </row>
    <row r="26">
      <c r="A26" s="26" t="inlineStr">
        <is>
          <t>Impacte: els ports que cobra Shopify per pes estan mal calculats en aquests SKU.</t>
        </is>
      </c>
    </row>
    <row r="28">
      <c r="A28" s="27" t="inlineStr">
        <is>
          <t>PACKS I KITS — DECISIÓ PENDENT AMB L'OPERADOR</t>
        </is>
      </c>
    </row>
    <row r="29">
      <c r="A29" s="26" t="inlineStr">
        <is>
          <t>No s'han inclòs al "Fichero" perquè són combinacions de SKU que ja hi són. Cal decidir amb el 3PL si els gestiona com a KIT (muntats en el moment de la comanda) o com a article propi amb estoc propi. Si són article propi, cal afegir-los amb codi de barres i mides pròpies.</t>
        </is>
      </c>
    </row>
    <row r="30">
      <c r="A30" s="26" t="inlineStr">
        <is>
          <t>· QV-PCK-INI-0300 — Pack Iniciació · Setembre (ACTIU)</t>
        </is>
      </c>
    </row>
    <row r="31">
      <c r="A31" s="26" t="inlineStr">
        <is>
          <t>· QV-PCK-EST-0900 — Pack Gustos Estrella · Setembre (ACTIU)</t>
        </is>
      </c>
    </row>
    <row r="32">
      <c r="A32" s="26" t="inlineStr">
        <is>
          <t>· QV-PCK-WC-CC-0750-0400 / 0750-0250 / 1500-0400 / 1500-0250 — Whey + Creatina (ACTIUS): 1 whey crema catalana + 1 creatina.</t>
        </is>
      </c>
    </row>
    <row r="33">
      <c r="A33" s="26" t="inlineStr">
        <is>
          <t>· QV-PCK-ES-* — Pack Estiu: 27 variants, producte en ESBORRANY a Shopify. A més té SKU duplicats (p. ex. QV-PCK-ES-OR-1500-0750 apareix 2 cops) — cal netejar-ho a Shopify abans de donar-los d'alta enlloc.</t>
        </is>
      </c>
    </row>
    <row r="35">
      <c r="A35" s="27" t="inlineStr">
        <is>
          <t>EXCLOSOS DEL FITXER</t>
        </is>
      </c>
    </row>
    <row r="36">
      <c r="A36" s="26" t="inlineStr">
        <is>
          <t>· "Batut orxata proteica" (QV-BAT-OR-0330) — ESBORRANY, encara no es ven.</t>
        </is>
      </c>
    </row>
    <row r="37">
      <c r="A37" s="26" t="inlineStr">
        <is>
          <t>· "Whey Protein Fibra" (Choco / Peach) — ESBORRANY i SENSE SKU. Cal assignar-los SKU abans de res.</t>
        </is>
      </c>
    </row>
    <row r="39">
      <c r="A39" s="27" t="inlineStr">
        <is>
          <t>NOTA TÈCNICA</t>
        </is>
      </c>
    </row>
    <row r="40">
      <c r="A40" s="26" t="inlineStr">
        <is>
          <t>La columna PESO CAJA del "Fichero" conté una fórmula. Si l'operador logístic necessita valors plans, fes Copia &gt; Enganxa especial &gt; Només valors sobre la columna D abans d'enviar-lo.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Llorente Rincon, Mercedes</dc:creator>
  <dcterms:created xsi:type="dcterms:W3CDTF">2022-03-22T10:51:03Z</dcterms:created>
  <dcterms:modified xsi:type="dcterms:W3CDTF">2026-09-03T22:15:59Z</dcterms:modified>
  <cp:lastModifiedBy>Gomez Virgili, Victoria</cp:lastModifiedBy>
  <cp:lastPrinted>2023-05-24T09:44:47Z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463cba9-5f6c-478d-9329-7b2295e4e8ed_Enabled" fmtid="{D5CDD505-2E9C-101B-9397-08002B2CF9AE}" pid="2">
    <vt:lpwstr>true</vt:lpwstr>
  </property>
  <property name="MSIP_Label_e463cba9-5f6c-478d-9329-7b2295e4e8ed_SetDate" fmtid="{D5CDD505-2E9C-101B-9397-08002B2CF9AE}" pid="3">
    <vt:lpwstr>2022-03-22T10:51:03Z</vt:lpwstr>
  </property>
  <property name="MSIP_Label_e463cba9-5f6c-478d-9329-7b2295e4e8ed_Method" fmtid="{D5CDD505-2E9C-101B-9397-08002B2CF9AE}" pid="4">
    <vt:lpwstr>Standard</vt:lpwstr>
  </property>
  <property name="MSIP_Label_e463cba9-5f6c-478d-9329-7b2295e4e8ed_Name" fmtid="{D5CDD505-2E9C-101B-9397-08002B2CF9AE}" pid="5">
    <vt:lpwstr>All Employees_2</vt:lpwstr>
  </property>
  <property name="MSIP_Label_e463cba9-5f6c-478d-9329-7b2295e4e8ed_SiteId" fmtid="{D5CDD505-2E9C-101B-9397-08002B2CF9AE}" pid="6">
    <vt:lpwstr>33440fc6-b7c7-412c-bb73-0e70b0198d5a</vt:lpwstr>
  </property>
  <property name="MSIP_Label_e463cba9-5f6c-478d-9329-7b2295e4e8ed_ActionId" fmtid="{D5CDD505-2E9C-101B-9397-08002B2CF9AE}" pid="7">
    <vt:lpwstr>ce161702-90ec-4342-8fd3-1133de159973</vt:lpwstr>
  </property>
  <property name="MSIP_Label_e463cba9-5f6c-478d-9329-7b2295e4e8ed_ContentBits" fmtid="{D5CDD505-2E9C-101B-9397-08002B2CF9AE}" pid="8">
    <vt:lpwstr>0</vt:lpwstr>
  </property>
</Properties>
</file>